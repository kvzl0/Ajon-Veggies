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ev\Downloads\"/>
    </mc:Choice>
  </mc:AlternateContent>
  <xr:revisionPtr revIDLastSave="0" documentId="13_ncr:1_{EB892657-A0C1-4691-84B0-001F9862B2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cember" sheetId="1" r:id="rId1"/>
    <sheet name="January" sheetId="2" r:id="rId2"/>
    <sheet name="Febru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7" i="2"/>
  <c r="C17" i="3"/>
  <c r="B17" i="3"/>
  <c r="B17" i="2"/>
  <c r="B17" i="1"/>
  <c r="G31" i="3"/>
  <c r="G30" i="3"/>
  <c r="G33" i="3" s="1"/>
  <c r="G27" i="3"/>
  <c r="G17" i="3"/>
  <c r="G20" i="3" s="1"/>
  <c r="F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D17" i="3" s="1"/>
  <c r="E2" i="3"/>
  <c r="E17" i="3" s="1"/>
  <c r="G19" i="3" s="1"/>
  <c r="D2" i="3"/>
  <c r="G27" i="2"/>
  <c r="G31" i="2" s="1"/>
  <c r="G17" i="2"/>
  <c r="G20" i="2" s="1"/>
  <c r="F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E17" i="2" s="1"/>
  <c r="G19" i="2" s="1"/>
  <c r="D5" i="2"/>
  <c r="D17" i="2" s="1"/>
  <c r="E4" i="2"/>
  <c r="D4" i="2"/>
  <c r="E3" i="2"/>
  <c r="D3" i="2"/>
  <c r="E2" i="2"/>
  <c r="D2" i="2"/>
  <c r="G30" i="1"/>
  <c r="G33" i="1" s="1"/>
  <c r="G27" i="1"/>
  <c r="G31" i="1" s="1"/>
  <c r="G20" i="1"/>
  <c r="G17" i="1"/>
  <c r="F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E17" i="1" s="1"/>
  <c r="G19" i="1" s="1"/>
  <c r="D2" i="1"/>
  <c r="D17" i="1" s="1"/>
  <c r="G32" i="3" l="1"/>
  <c r="G32" i="1"/>
  <c r="G30" i="2"/>
  <c r="G33" i="2" l="1"/>
  <c r="G32" i="2"/>
</calcChain>
</file>

<file path=xl/sharedStrings.xml><?xml version="1.0" encoding="utf-8"?>
<sst xmlns="http://schemas.openxmlformats.org/spreadsheetml/2006/main" count="111" uniqueCount="36">
  <si>
    <t>Item</t>
  </si>
  <si>
    <t>Unit Price (₱)</t>
  </si>
  <si>
    <t>Days Sold</t>
  </si>
  <si>
    <t>Daily Avg Qty (kg)</t>
  </si>
  <si>
    <t>Daily Avg Sales (₱)</t>
  </si>
  <si>
    <t>Monthly Qty (kg)</t>
  </si>
  <si>
    <t>Monthly Sales (₱)</t>
  </si>
  <si>
    <t>Ampalaya</t>
  </si>
  <si>
    <t>Bell Pepper</t>
  </si>
  <si>
    <t>Cabbage</t>
  </si>
  <si>
    <t>Carrots</t>
  </si>
  <si>
    <t>Chili</t>
  </si>
  <si>
    <t>Eggplant</t>
  </si>
  <si>
    <t>Garlic</t>
  </si>
  <si>
    <t>Ginger</t>
  </si>
  <si>
    <t>Lettuce</t>
  </si>
  <si>
    <t>Malunggay</t>
  </si>
  <si>
    <t>Onions</t>
  </si>
  <si>
    <t>Pechay</t>
  </si>
  <si>
    <t>Potatoes</t>
  </si>
  <si>
    <t>String Beans</t>
  </si>
  <si>
    <t>Tomatoes</t>
  </si>
  <si>
    <t>TOTAL</t>
  </si>
  <si>
    <t>Total Daily Avg Sales (₱):</t>
  </si>
  <si>
    <t>Total Monthly Sales (₱):</t>
  </si>
  <si>
    <t>Expense Category</t>
  </si>
  <si>
    <t>Amount (₱)</t>
  </si>
  <si>
    <t>Electricity</t>
  </si>
  <si>
    <t>Rent / Stall Fee</t>
  </si>
  <si>
    <t>Transportation / Delivery</t>
  </si>
  <si>
    <t>Miscellaneous</t>
  </si>
  <si>
    <t>Total Expenses</t>
  </si>
  <si>
    <t>Metric</t>
  </si>
  <si>
    <t>Total Monthly Sales</t>
  </si>
  <si>
    <t>Net Profit / True Profit</t>
  </si>
  <si>
    <t>Estimated Net Income (15%)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</si>
</sst>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1A5C38"/>
      <name val="Arial"/>
      <family val="2"/>
    </font>
    <font>
      <i/>
      <sz val="10"/>
      <color rgb="FF000000"/>
      <name val="Arial"/>
      <family val="2"/>
    </font>
    <font>
      <i/>
      <sz val="10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4" fillId="0" borderId="2" xfId="0" applyNumberFormat="1" applyFont="1" applyBorder="1" applyAlignment="1">
      <alignment horizontal="right" vertical="center"/>
    </xf>
    <xf numFmtId="0" fontId="0" fillId="5" borderId="1" xfId="0" applyFill="1" applyBorder="1"/>
    <xf numFmtId="0" fontId="1" fillId="5" borderId="1" xfId="0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right" vertical="center"/>
    </xf>
    <xf numFmtId="4" fontId="6" fillId="5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0" fillId="0" borderId="0" xfId="0"/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5" fillId="5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pane ySplit="1" topLeftCell="A11" activePane="bottomLeft" state="frozen"/>
      <selection pane="bottomLeft" activeCell="G32" sqref="G32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5" width="18" customWidth="1"/>
    <col min="6" max="6" width="16" customWidth="1"/>
    <col min="7" max="7" width="18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120</v>
      </c>
      <c r="C2" s="3">
        <v>9</v>
      </c>
      <c r="D2" s="4">
        <f t="shared" ref="D2:D16" si="0">ROUND(F2/C2,1)</f>
        <v>30.7</v>
      </c>
      <c r="E2" s="5">
        <f t="shared" ref="E2:E16" si="1">ROUND(G2/C2,2)</f>
        <v>3680</v>
      </c>
      <c r="F2" s="3">
        <v>276</v>
      </c>
      <c r="G2" s="5">
        <v>33120</v>
      </c>
    </row>
    <row r="3" spans="1:7" x14ac:dyDescent="0.3">
      <c r="A3" s="6" t="s">
        <v>8</v>
      </c>
      <c r="B3" s="7">
        <v>150</v>
      </c>
      <c r="C3" s="7">
        <v>9</v>
      </c>
      <c r="D3" s="8">
        <f t="shared" si="0"/>
        <v>31</v>
      </c>
      <c r="E3" s="9">
        <f t="shared" si="1"/>
        <v>4650</v>
      </c>
      <c r="F3" s="7">
        <v>279</v>
      </c>
      <c r="G3" s="9">
        <v>41850</v>
      </c>
    </row>
    <row r="4" spans="1:7" x14ac:dyDescent="0.3">
      <c r="A4" s="2" t="s">
        <v>9</v>
      </c>
      <c r="B4" s="3">
        <v>50</v>
      </c>
      <c r="C4" s="3">
        <v>6</v>
      </c>
      <c r="D4" s="4">
        <f t="shared" si="0"/>
        <v>30.8</v>
      </c>
      <c r="E4" s="5">
        <f t="shared" si="1"/>
        <v>1541.67</v>
      </c>
      <c r="F4" s="3">
        <v>185</v>
      </c>
      <c r="G4" s="5">
        <v>9250</v>
      </c>
    </row>
    <row r="5" spans="1:7" x14ac:dyDescent="0.3">
      <c r="A5" s="6" t="s">
        <v>10</v>
      </c>
      <c r="B5" s="7">
        <v>70</v>
      </c>
      <c r="C5" s="7">
        <v>13</v>
      </c>
      <c r="D5" s="8">
        <f t="shared" si="0"/>
        <v>30.2</v>
      </c>
      <c r="E5" s="9">
        <f t="shared" si="1"/>
        <v>2116.15</v>
      </c>
      <c r="F5" s="7">
        <v>393</v>
      </c>
      <c r="G5" s="9">
        <v>27510</v>
      </c>
    </row>
    <row r="6" spans="1:7" x14ac:dyDescent="0.3">
      <c r="A6" s="2" t="s">
        <v>11</v>
      </c>
      <c r="B6" s="3">
        <v>220</v>
      </c>
      <c r="C6" s="3">
        <v>7</v>
      </c>
      <c r="D6" s="4">
        <f t="shared" si="0"/>
        <v>38.6</v>
      </c>
      <c r="E6" s="5">
        <f t="shared" si="1"/>
        <v>8485.7099999999991</v>
      </c>
      <c r="F6" s="3">
        <v>270</v>
      </c>
      <c r="G6" s="5">
        <v>59400</v>
      </c>
    </row>
    <row r="7" spans="1:7" x14ac:dyDescent="0.3">
      <c r="A7" s="6" t="s">
        <v>12</v>
      </c>
      <c r="B7" s="7">
        <v>75</v>
      </c>
      <c r="C7" s="7">
        <v>6</v>
      </c>
      <c r="D7" s="8">
        <f t="shared" si="0"/>
        <v>34.799999999999997</v>
      </c>
      <c r="E7" s="9">
        <f t="shared" si="1"/>
        <v>2612.5</v>
      </c>
      <c r="F7" s="7">
        <v>209</v>
      </c>
      <c r="G7" s="9">
        <v>15675</v>
      </c>
    </row>
    <row r="8" spans="1:7" x14ac:dyDescent="0.3">
      <c r="A8" s="2" t="s">
        <v>13</v>
      </c>
      <c r="B8" s="3">
        <v>200</v>
      </c>
      <c r="C8" s="3">
        <v>7</v>
      </c>
      <c r="D8" s="4">
        <f t="shared" si="0"/>
        <v>29.6</v>
      </c>
      <c r="E8" s="5">
        <f t="shared" si="1"/>
        <v>5914.29</v>
      </c>
      <c r="F8" s="3">
        <v>207</v>
      </c>
      <c r="G8" s="5">
        <v>41400</v>
      </c>
    </row>
    <row r="9" spans="1:7" x14ac:dyDescent="0.3">
      <c r="A9" s="6" t="s">
        <v>14</v>
      </c>
      <c r="B9" s="7">
        <v>180</v>
      </c>
      <c r="C9" s="7">
        <v>7</v>
      </c>
      <c r="D9" s="8">
        <f t="shared" si="0"/>
        <v>36.299999999999997</v>
      </c>
      <c r="E9" s="9">
        <f t="shared" si="1"/>
        <v>6531.43</v>
      </c>
      <c r="F9" s="7">
        <v>254</v>
      </c>
      <c r="G9" s="9">
        <v>45720</v>
      </c>
    </row>
    <row r="10" spans="1:7" x14ac:dyDescent="0.3">
      <c r="A10" s="2" t="s">
        <v>15</v>
      </c>
      <c r="B10" s="3">
        <v>65</v>
      </c>
      <c r="C10" s="3">
        <v>7</v>
      </c>
      <c r="D10" s="4">
        <f t="shared" si="0"/>
        <v>33.700000000000003</v>
      </c>
      <c r="E10" s="5">
        <f t="shared" si="1"/>
        <v>2191.4299999999998</v>
      </c>
      <c r="F10" s="3">
        <v>236</v>
      </c>
      <c r="G10" s="5">
        <v>15340</v>
      </c>
    </row>
    <row r="11" spans="1:7" x14ac:dyDescent="0.3">
      <c r="A11" s="6" t="s">
        <v>16</v>
      </c>
      <c r="B11" s="7">
        <v>40</v>
      </c>
      <c r="C11" s="7">
        <v>9</v>
      </c>
      <c r="D11" s="8">
        <f t="shared" si="0"/>
        <v>31.6</v>
      </c>
      <c r="E11" s="9">
        <f t="shared" si="1"/>
        <v>1262.22</v>
      </c>
      <c r="F11" s="7">
        <v>284</v>
      </c>
      <c r="G11" s="9">
        <v>11360</v>
      </c>
    </row>
    <row r="12" spans="1:7" x14ac:dyDescent="0.3">
      <c r="A12" s="2" t="s">
        <v>17</v>
      </c>
      <c r="B12" s="3">
        <v>90</v>
      </c>
      <c r="C12" s="3">
        <v>12</v>
      </c>
      <c r="D12" s="4">
        <f t="shared" si="0"/>
        <v>27.6</v>
      </c>
      <c r="E12" s="5">
        <f t="shared" si="1"/>
        <v>2482.5</v>
      </c>
      <c r="F12" s="3">
        <v>331</v>
      </c>
      <c r="G12" s="5">
        <v>29790</v>
      </c>
    </row>
    <row r="13" spans="1:7" x14ac:dyDescent="0.3">
      <c r="A13" s="6" t="s">
        <v>18</v>
      </c>
      <c r="B13" s="7">
        <v>55</v>
      </c>
      <c r="C13" s="7">
        <v>9</v>
      </c>
      <c r="D13" s="8">
        <f t="shared" si="0"/>
        <v>37.4</v>
      </c>
      <c r="E13" s="9">
        <f t="shared" si="1"/>
        <v>2059.44</v>
      </c>
      <c r="F13" s="7">
        <v>337</v>
      </c>
      <c r="G13" s="9">
        <v>18535</v>
      </c>
    </row>
    <row r="14" spans="1:7" x14ac:dyDescent="0.3">
      <c r="A14" s="2" t="s">
        <v>19</v>
      </c>
      <c r="B14" s="3">
        <v>60</v>
      </c>
      <c r="C14" s="3">
        <v>8</v>
      </c>
      <c r="D14" s="4">
        <f t="shared" si="0"/>
        <v>31.8</v>
      </c>
      <c r="E14" s="5">
        <f t="shared" si="1"/>
        <v>1905</v>
      </c>
      <c r="F14" s="3">
        <v>254</v>
      </c>
      <c r="G14" s="5">
        <v>15240</v>
      </c>
    </row>
    <row r="15" spans="1:7" x14ac:dyDescent="0.3">
      <c r="A15" s="6" t="s">
        <v>20</v>
      </c>
      <c r="B15" s="7">
        <v>100</v>
      </c>
      <c r="C15" s="7">
        <v>3</v>
      </c>
      <c r="D15" s="8">
        <f t="shared" si="0"/>
        <v>40.700000000000003</v>
      </c>
      <c r="E15" s="9">
        <f t="shared" si="1"/>
        <v>4066.67</v>
      </c>
      <c r="F15" s="7">
        <v>122</v>
      </c>
      <c r="G15" s="9">
        <v>12200</v>
      </c>
    </row>
    <row r="16" spans="1:7" x14ac:dyDescent="0.3">
      <c r="A16" s="2" t="s">
        <v>21</v>
      </c>
      <c r="B16" s="3">
        <v>80</v>
      </c>
      <c r="C16" s="3">
        <v>7</v>
      </c>
      <c r="D16" s="4">
        <f t="shared" si="0"/>
        <v>33.6</v>
      </c>
      <c r="E16" s="5">
        <f t="shared" si="1"/>
        <v>2685.71</v>
      </c>
      <c r="F16" s="3">
        <v>235</v>
      </c>
      <c r="G16" s="5">
        <v>18800</v>
      </c>
    </row>
    <row r="17" spans="1:7" ht="16.05" customHeight="1" x14ac:dyDescent="0.3">
      <c r="A17" s="10" t="s">
        <v>22</v>
      </c>
      <c r="B17" s="26">
        <f>SUM(B2:B16)</f>
        <v>1555</v>
      </c>
      <c r="C17" s="26">
        <f>SUM(C2:C16)</f>
        <v>119</v>
      </c>
      <c r="D17" s="11">
        <f>SUM(D2:D16)</f>
        <v>498.40000000000003</v>
      </c>
      <c r="E17" s="12">
        <f>SUM(E2:E16)</f>
        <v>52184.72</v>
      </c>
      <c r="F17" s="13">
        <f>SUM(F2:F16)</f>
        <v>3872</v>
      </c>
      <c r="G17" s="12">
        <f>SUM(G2:G16)</f>
        <v>395190</v>
      </c>
    </row>
    <row r="18" spans="1:7" x14ac:dyDescent="0.3">
      <c r="C18" s="27"/>
    </row>
    <row r="19" spans="1:7" x14ac:dyDescent="0.3">
      <c r="D19" s="21" t="s">
        <v>23</v>
      </c>
      <c r="E19" s="22"/>
      <c r="F19" s="22"/>
      <c r="G19" s="14">
        <f>E17</f>
        <v>52184.72</v>
      </c>
    </row>
    <row r="20" spans="1:7" x14ac:dyDescent="0.3">
      <c r="D20" s="21" t="s">
        <v>24</v>
      </c>
      <c r="E20" s="22"/>
      <c r="F20" s="22"/>
      <c r="G20" s="14">
        <f>G17</f>
        <v>395190</v>
      </c>
    </row>
    <row r="22" spans="1:7" x14ac:dyDescent="0.3">
      <c r="D22" s="23" t="s">
        <v>25</v>
      </c>
      <c r="E22" s="24"/>
      <c r="F22" s="24"/>
      <c r="G22" s="16" t="s">
        <v>26</v>
      </c>
    </row>
    <row r="23" spans="1:7" x14ac:dyDescent="0.3">
      <c r="D23" s="25" t="s">
        <v>27</v>
      </c>
      <c r="E23" s="24"/>
      <c r="F23" s="24"/>
      <c r="G23" s="17">
        <v>0</v>
      </c>
    </row>
    <row r="24" spans="1:7" x14ac:dyDescent="0.3">
      <c r="D24" s="25" t="s">
        <v>28</v>
      </c>
      <c r="E24" s="24"/>
      <c r="F24" s="24"/>
      <c r="G24" s="17">
        <v>0</v>
      </c>
    </row>
    <row r="25" spans="1:7" x14ac:dyDescent="0.3">
      <c r="D25" s="25" t="s">
        <v>29</v>
      </c>
      <c r="E25" s="24"/>
      <c r="F25" s="24"/>
      <c r="G25" s="17">
        <v>0</v>
      </c>
    </row>
    <row r="26" spans="1:7" x14ac:dyDescent="0.3">
      <c r="D26" s="25" t="s">
        <v>30</v>
      </c>
      <c r="E26" s="24"/>
      <c r="F26" s="24"/>
      <c r="G26" s="17">
        <v>0</v>
      </c>
    </row>
    <row r="27" spans="1:7" x14ac:dyDescent="0.3">
      <c r="D27" s="23" t="s">
        <v>31</v>
      </c>
      <c r="E27" s="24"/>
      <c r="F27" s="24"/>
      <c r="G27" s="18">
        <f>SUM(G23:G26)</f>
        <v>0</v>
      </c>
    </row>
    <row r="29" spans="1:7" x14ac:dyDescent="0.3">
      <c r="D29" s="23" t="s">
        <v>32</v>
      </c>
      <c r="E29" s="24"/>
      <c r="F29" s="24"/>
      <c r="G29" s="15"/>
    </row>
    <row r="30" spans="1:7" x14ac:dyDescent="0.3">
      <c r="D30" s="25" t="s">
        <v>33</v>
      </c>
      <c r="E30" s="24"/>
      <c r="F30" s="24"/>
      <c r="G30" s="19">
        <f>G17</f>
        <v>395190</v>
      </c>
    </row>
    <row r="31" spans="1:7" x14ac:dyDescent="0.3">
      <c r="D31" s="25" t="s">
        <v>31</v>
      </c>
      <c r="E31" s="24"/>
      <c r="F31" s="24"/>
      <c r="G31" s="19">
        <f>G27</f>
        <v>0</v>
      </c>
    </row>
    <row r="32" spans="1:7" x14ac:dyDescent="0.3">
      <c r="D32" s="25" t="s">
        <v>34</v>
      </c>
      <c r="E32" s="24"/>
      <c r="F32" s="24"/>
      <c r="G32" s="20">
        <f>G30-G31</f>
        <v>395190</v>
      </c>
    </row>
    <row r="33" spans="4:7" x14ac:dyDescent="0.3">
      <c r="D33" s="25" t="s">
        <v>35</v>
      </c>
      <c r="E33" s="24"/>
      <c r="F33" s="24"/>
      <c r="G33" s="19">
        <f>G30*0.15</f>
        <v>59278.5</v>
      </c>
    </row>
  </sheetData>
  <mergeCells count="13">
    <mergeCell ref="D33:F33"/>
    <mergeCell ref="D24:F24"/>
    <mergeCell ref="D32:F32"/>
    <mergeCell ref="D22:F22"/>
    <mergeCell ref="D26:F26"/>
    <mergeCell ref="D30:F30"/>
    <mergeCell ref="D25:F25"/>
    <mergeCell ref="D19:F19"/>
    <mergeCell ref="D29:F29"/>
    <mergeCell ref="D27:F27"/>
    <mergeCell ref="D23:F23"/>
    <mergeCell ref="D31:F31"/>
    <mergeCell ref="D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pane ySplit="1" topLeftCell="A14" activePane="bottomLeft" state="frozen"/>
      <selection pane="bottomLeft" activeCell="I20" sqref="I20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5" width="18" customWidth="1"/>
    <col min="6" max="6" width="16" customWidth="1"/>
    <col min="7" max="7" width="18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120</v>
      </c>
      <c r="C2" s="3">
        <v>7</v>
      </c>
      <c r="D2" s="4">
        <f t="shared" ref="D2:D16" si="0">ROUND(F2/C2,1)</f>
        <v>40.1</v>
      </c>
      <c r="E2" s="5">
        <f t="shared" ref="E2:E16" si="1">ROUND(G2/C2,2)</f>
        <v>4817.1400000000003</v>
      </c>
      <c r="F2" s="3">
        <v>281</v>
      </c>
      <c r="G2" s="5">
        <v>33720</v>
      </c>
    </row>
    <row r="3" spans="1:7" x14ac:dyDescent="0.3">
      <c r="A3" s="6" t="s">
        <v>8</v>
      </c>
      <c r="B3" s="7">
        <v>150</v>
      </c>
      <c r="C3" s="7">
        <v>6</v>
      </c>
      <c r="D3" s="8">
        <f t="shared" si="0"/>
        <v>33.799999999999997</v>
      </c>
      <c r="E3" s="9">
        <f t="shared" si="1"/>
        <v>5075</v>
      </c>
      <c r="F3" s="7">
        <v>203</v>
      </c>
      <c r="G3" s="9">
        <v>30450</v>
      </c>
    </row>
    <row r="4" spans="1:7" x14ac:dyDescent="0.3">
      <c r="A4" s="2" t="s">
        <v>9</v>
      </c>
      <c r="B4" s="3">
        <v>50</v>
      </c>
      <c r="C4" s="3">
        <v>7</v>
      </c>
      <c r="D4" s="4">
        <f t="shared" si="0"/>
        <v>37.6</v>
      </c>
      <c r="E4" s="5">
        <f t="shared" si="1"/>
        <v>1878.57</v>
      </c>
      <c r="F4" s="3">
        <v>263</v>
      </c>
      <c r="G4" s="5">
        <v>13150</v>
      </c>
    </row>
    <row r="5" spans="1:7" x14ac:dyDescent="0.3">
      <c r="A5" s="6" t="s">
        <v>10</v>
      </c>
      <c r="B5" s="7">
        <v>70</v>
      </c>
      <c r="C5" s="7">
        <v>11</v>
      </c>
      <c r="D5" s="8">
        <f t="shared" si="0"/>
        <v>37.6</v>
      </c>
      <c r="E5" s="9">
        <f t="shared" si="1"/>
        <v>2634.55</v>
      </c>
      <c r="F5" s="7">
        <v>414</v>
      </c>
      <c r="G5" s="9">
        <v>28980</v>
      </c>
    </row>
    <row r="6" spans="1:7" x14ac:dyDescent="0.3">
      <c r="A6" s="2" t="s">
        <v>11</v>
      </c>
      <c r="B6" s="3">
        <v>220</v>
      </c>
      <c r="C6" s="3">
        <v>13</v>
      </c>
      <c r="D6" s="4">
        <f t="shared" si="0"/>
        <v>29.2</v>
      </c>
      <c r="E6" s="5">
        <f t="shared" si="1"/>
        <v>6430.77</v>
      </c>
      <c r="F6" s="3">
        <v>380</v>
      </c>
      <c r="G6" s="5">
        <v>83600</v>
      </c>
    </row>
    <row r="7" spans="1:7" x14ac:dyDescent="0.3">
      <c r="A7" s="6" t="s">
        <v>12</v>
      </c>
      <c r="B7" s="7">
        <v>75</v>
      </c>
      <c r="C7" s="7">
        <v>8</v>
      </c>
      <c r="D7" s="8">
        <f t="shared" si="0"/>
        <v>40.6</v>
      </c>
      <c r="E7" s="9">
        <f t="shared" si="1"/>
        <v>3046.88</v>
      </c>
      <c r="F7" s="7">
        <v>325</v>
      </c>
      <c r="G7" s="9">
        <v>24375</v>
      </c>
    </row>
    <row r="8" spans="1:7" x14ac:dyDescent="0.3">
      <c r="A8" s="2" t="s">
        <v>13</v>
      </c>
      <c r="B8" s="3">
        <v>200</v>
      </c>
      <c r="C8" s="3">
        <v>6</v>
      </c>
      <c r="D8" s="4">
        <f t="shared" si="0"/>
        <v>28.3</v>
      </c>
      <c r="E8" s="5">
        <f t="shared" si="1"/>
        <v>5666.67</v>
      </c>
      <c r="F8" s="3">
        <v>170</v>
      </c>
      <c r="G8" s="5">
        <v>34000</v>
      </c>
    </row>
    <row r="9" spans="1:7" x14ac:dyDescent="0.3">
      <c r="A9" s="6" t="s">
        <v>14</v>
      </c>
      <c r="B9" s="7">
        <v>180</v>
      </c>
      <c r="C9" s="7">
        <v>9</v>
      </c>
      <c r="D9" s="8">
        <f t="shared" si="0"/>
        <v>47.2</v>
      </c>
      <c r="E9" s="9">
        <f t="shared" si="1"/>
        <v>8500</v>
      </c>
      <c r="F9" s="7">
        <v>425</v>
      </c>
      <c r="G9" s="9">
        <v>76500</v>
      </c>
    </row>
    <row r="10" spans="1:7" x14ac:dyDescent="0.3">
      <c r="A10" s="2" t="s">
        <v>15</v>
      </c>
      <c r="B10" s="3">
        <v>65</v>
      </c>
      <c r="C10" s="3">
        <v>5</v>
      </c>
      <c r="D10" s="4">
        <f t="shared" si="0"/>
        <v>38.200000000000003</v>
      </c>
      <c r="E10" s="5">
        <f t="shared" si="1"/>
        <v>2483</v>
      </c>
      <c r="F10" s="3">
        <v>191</v>
      </c>
      <c r="G10" s="5">
        <v>12415</v>
      </c>
    </row>
    <row r="11" spans="1:7" x14ac:dyDescent="0.3">
      <c r="A11" s="6" t="s">
        <v>16</v>
      </c>
      <c r="B11" s="7">
        <v>40</v>
      </c>
      <c r="C11" s="7">
        <v>9</v>
      </c>
      <c r="D11" s="8">
        <f t="shared" si="0"/>
        <v>25.9</v>
      </c>
      <c r="E11" s="9">
        <f t="shared" si="1"/>
        <v>1035.56</v>
      </c>
      <c r="F11" s="7">
        <v>233</v>
      </c>
      <c r="G11" s="9">
        <v>9320</v>
      </c>
    </row>
    <row r="12" spans="1:7" x14ac:dyDescent="0.3">
      <c r="A12" s="2" t="s">
        <v>17</v>
      </c>
      <c r="B12" s="3">
        <v>90</v>
      </c>
      <c r="C12" s="3">
        <v>4</v>
      </c>
      <c r="D12" s="4">
        <f t="shared" si="0"/>
        <v>22.3</v>
      </c>
      <c r="E12" s="5">
        <f t="shared" si="1"/>
        <v>2002.5</v>
      </c>
      <c r="F12" s="3">
        <v>89</v>
      </c>
      <c r="G12" s="5">
        <v>8010</v>
      </c>
    </row>
    <row r="13" spans="1:7" x14ac:dyDescent="0.3">
      <c r="A13" s="6" t="s">
        <v>18</v>
      </c>
      <c r="B13" s="7">
        <v>55</v>
      </c>
      <c r="C13" s="7">
        <v>7</v>
      </c>
      <c r="D13" s="8">
        <f t="shared" si="0"/>
        <v>45.3</v>
      </c>
      <c r="E13" s="9">
        <f t="shared" si="1"/>
        <v>2490.71</v>
      </c>
      <c r="F13" s="7">
        <v>317</v>
      </c>
      <c r="G13" s="9">
        <v>17435</v>
      </c>
    </row>
    <row r="14" spans="1:7" x14ac:dyDescent="0.3">
      <c r="A14" s="2" t="s">
        <v>19</v>
      </c>
      <c r="B14" s="3">
        <v>60</v>
      </c>
      <c r="C14" s="3">
        <v>6</v>
      </c>
      <c r="D14" s="4">
        <f t="shared" si="0"/>
        <v>28.2</v>
      </c>
      <c r="E14" s="5">
        <f t="shared" si="1"/>
        <v>1690</v>
      </c>
      <c r="F14" s="3">
        <v>169</v>
      </c>
      <c r="G14" s="5">
        <v>10140</v>
      </c>
    </row>
    <row r="15" spans="1:7" x14ac:dyDescent="0.3">
      <c r="A15" s="6" t="s">
        <v>20</v>
      </c>
      <c r="B15" s="7">
        <v>100</v>
      </c>
      <c r="C15" s="7">
        <v>9</v>
      </c>
      <c r="D15" s="8">
        <f t="shared" si="0"/>
        <v>32.299999999999997</v>
      </c>
      <c r="E15" s="9">
        <f t="shared" si="1"/>
        <v>3233.33</v>
      </c>
      <c r="F15" s="7">
        <v>291</v>
      </c>
      <c r="G15" s="9">
        <v>29100</v>
      </c>
    </row>
    <row r="16" spans="1:7" x14ac:dyDescent="0.3">
      <c r="A16" s="2" t="s">
        <v>21</v>
      </c>
      <c r="B16" s="3">
        <v>80</v>
      </c>
      <c r="C16" s="3">
        <v>3</v>
      </c>
      <c r="D16" s="4">
        <f t="shared" si="0"/>
        <v>19</v>
      </c>
      <c r="E16" s="5">
        <f t="shared" si="1"/>
        <v>1520</v>
      </c>
      <c r="F16" s="3">
        <v>57</v>
      </c>
      <c r="G16" s="5">
        <v>4560</v>
      </c>
    </row>
    <row r="17" spans="1:7" ht="16.05" customHeight="1" x14ac:dyDescent="0.3">
      <c r="A17" s="10" t="s">
        <v>22</v>
      </c>
      <c r="B17" s="26">
        <f>SUM(B2:B16)</f>
        <v>1555</v>
      </c>
      <c r="C17" s="26">
        <f>SUM(C2:C16)</f>
        <v>110</v>
      </c>
      <c r="D17" s="11">
        <f>SUM(D2:D16)</f>
        <v>505.59999999999997</v>
      </c>
      <c r="E17" s="12">
        <f>SUM(E2:E16)</f>
        <v>52504.68</v>
      </c>
      <c r="F17" s="13">
        <f>SUM(F2:F16)</f>
        <v>3808</v>
      </c>
      <c r="G17" s="12">
        <f>SUM(G2:G16)</f>
        <v>415755</v>
      </c>
    </row>
    <row r="19" spans="1:7" x14ac:dyDescent="0.3">
      <c r="D19" s="21" t="s">
        <v>23</v>
      </c>
      <c r="E19" s="22"/>
      <c r="F19" s="22"/>
      <c r="G19" s="14">
        <f>E17</f>
        <v>52504.68</v>
      </c>
    </row>
    <row r="20" spans="1:7" x14ac:dyDescent="0.3">
      <c r="D20" s="21" t="s">
        <v>24</v>
      </c>
      <c r="E20" s="22"/>
      <c r="F20" s="22"/>
      <c r="G20" s="14">
        <f>G17</f>
        <v>415755</v>
      </c>
    </row>
    <row r="22" spans="1:7" x14ac:dyDescent="0.3">
      <c r="D22" s="23" t="s">
        <v>25</v>
      </c>
      <c r="E22" s="24"/>
      <c r="F22" s="24"/>
      <c r="G22" s="16" t="s">
        <v>26</v>
      </c>
    </row>
    <row r="23" spans="1:7" x14ac:dyDescent="0.3">
      <c r="D23" s="25" t="s">
        <v>27</v>
      </c>
      <c r="E23" s="24"/>
      <c r="F23" s="24"/>
      <c r="G23" s="17">
        <v>0</v>
      </c>
    </row>
    <row r="24" spans="1:7" x14ac:dyDescent="0.3">
      <c r="D24" s="25" t="s">
        <v>28</v>
      </c>
      <c r="E24" s="24"/>
      <c r="F24" s="24"/>
      <c r="G24" s="17">
        <v>0</v>
      </c>
    </row>
    <row r="25" spans="1:7" x14ac:dyDescent="0.3">
      <c r="D25" s="25" t="s">
        <v>29</v>
      </c>
      <c r="E25" s="24"/>
      <c r="F25" s="24"/>
      <c r="G25" s="17">
        <v>0</v>
      </c>
    </row>
    <row r="26" spans="1:7" x14ac:dyDescent="0.3">
      <c r="D26" s="25" t="s">
        <v>30</v>
      </c>
      <c r="E26" s="24"/>
      <c r="F26" s="24"/>
      <c r="G26" s="17">
        <v>0</v>
      </c>
    </row>
    <row r="27" spans="1:7" x14ac:dyDescent="0.3">
      <c r="D27" s="23" t="s">
        <v>31</v>
      </c>
      <c r="E27" s="24"/>
      <c r="F27" s="24"/>
      <c r="G27" s="18">
        <f>SUM(G23:G26)</f>
        <v>0</v>
      </c>
    </row>
    <row r="29" spans="1:7" x14ac:dyDescent="0.3">
      <c r="D29" s="23" t="s">
        <v>32</v>
      </c>
      <c r="E29" s="24"/>
      <c r="F29" s="24"/>
      <c r="G29" s="15"/>
    </row>
    <row r="30" spans="1:7" x14ac:dyDescent="0.3">
      <c r="D30" s="25" t="s">
        <v>33</v>
      </c>
      <c r="E30" s="24"/>
      <c r="F30" s="24"/>
      <c r="G30" s="19">
        <f>G17</f>
        <v>415755</v>
      </c>
    </row>
    <row r="31" spans="1:7" x14ac:dyDescent="0.3">
      <c r="D31" s="25" t="s">
        <v>31</v>
      </c>
      <c r="E31" s="24"/>
      <c r="F31" s="24"/>
      <c r="G31" s="19">
        <f>G27</f>
        <v>0</v>
      </c>
    </row>
    <row r="32" spans="1:7" x14ac:dyDescent="0.3">
      <c r="D32" s="25" t="s">
        <v>34</v>
      </c>
      <c r="E32" s="24"/>
      <c r="F32" s="24"/>
      <c r="G32" s="20">
        <f>G30-G31</f>
        <v>415755</v>
      </c>
    </row>
    <row r="33" spans="4:7" x14ac:dyDescent="0.3">
      <c r="D33" s="25" t="s">
        <v>35</v>
      </c>
      <c r="E33" s="24"/>
      <c r="F33" s="24"/>
      <c r="G33" s="19">
        <f>G30*0.15</f>
        <v>62363.25</v>
      </c>
    </row>
  </sheetData>
  <mergeCells count="13">
    <mergeCell ref="D33:F33"/>
    <mergeCell ref="D24:F24"/>
    <mergeCell ref="D32:F32"/>
    <mergeCell ref="D22:F22"/>
    <mergeCell ref="D26:F26"/>
    <mergeCell ref="D30:F30"/>
    <mergeCell ref="D25:F25"/>
    <mergeCell ref="D19:F19"/>
    <mergeCell ref="D29:F29"/>
    <mergeCell ref="D27:F27"/>
    <mergeCell ref="D23:F23"/>
    <mergeCell ref="D31:F31"/>
    <mergeCell ref="D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tabSelected="1" workbookViewId="0">
      <pane ySplit="1" topLeftCell="A14" activePane="bottomLeft" state="frozen"/>
      <selection pane="bottomLeft" activeCell="J29" sqref="J29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5" width="18" customWidth="1"/>
    <col min="6" max="6" width="16" customWidth="1"/>
    <col min="7" max="7" width="18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120</v>
      </c>
      <c r="C2" s="3">
        <v>8</v>
      </c>
      <c r="D2" s="4">
        <f t="shared" ref="D2:D16" si="0">ROUND(F2/C2,1)</f>
        <v>25.9</v>
      </c>
      <c r="E2" s="5">
        <f t="shared" ref="E2:E16" si="1">ROUND(G2/C2,2)</f>
        <v>3105</v>
      </c>
      <c r="F2" s="3">
        <v>207</v>
      </c>
      <c r="G2" s="5">
        <v>24840</v>
      </c>
    </row>
    <row r="3" spans="1:7" x14ac:dyDescent="0.3">
      <c r="A3" s="6" t="s">
        <v>8</v>
      </c>
      <c r="B3" s="7">
        <v>150</v>
      </c>
      <c r="C3" s="7">
        <v>6</v>
      </c>
      <c r="D3" s="8">
        <f t="shared" si="0"/>
        <v>42.7</v>
      </c>
      <c r="E3" s="9">
        <f t="shared" si="1"/>
        <v>6400</v>
      </c>
      <c r="F3" s="7">
        <v>256</v>
      </c>
      <c r="G3" s="9">
        <v>38400</v>
      </c>
    </row>
    <row r="4" spans="1:7" x14ac:dyDescent="0.3">
      <c r="A4" s="2" t="s">
        <v>9</v>
      </c>
      <c r="B4" s="3">
        <v>50</v>
      </c>
      <c r="C4" s="3">
        <v>10</v>
      </c>
      <c r="D4" s="4">
        <f t="shared" si="0"/>
        <v>28.5</v>
      </c>
      <c r="E4" s="5">
        <f t="shared" si="1"/>
        <v>1425</v>
      </c>
      <c r="F4" s="3">
        <v>285</v>
      </c>
      <c r="G4" s="5">
        <v>14250</v>
      </c>
    </row>
    <row r="5" spans="1:7" x14ac:dyDescent="0.3">
      <c r="A5" s="6" t="s">
        <v>10</v>
      </c>
      <c r="B5" s="7">
        <v>70</v>
      </c>
      <c r="C5" s="7">
        <v>10</v>
      </c>
      <c r="D5" s="8">
        <f t="shared" si="0"/>
        <v>35</v>
      </c>
      <c r="E5" s="9">
        <f t="shared" si="1"/>
        <v>2450</v>
      </c>
      <c r="F5" s="7">
        <v>350</v>
      </c>
      <c r="G5" s="9">
        <v>24500</v>
      </c>
    </row>
    <row r="6" spans="1:7" x14ac:dyDescent="0.3">
      <c r="A6" s="2" t="s">
        <v>11</v>
      </c>
      <c r="B6" s="3">
        <v>220</v>
      </c>
      <c r="C6" s="3">
        <v>5</v>
      </c>
      <c r="D6" s="4">
        <f t="shared" si="0"/>
        <v>25</v>
      </c>
      <c r="E6" s="5">
        <f t="shared" si="1"/>
        <v>5500</v>
      </c>
      <c r="F6" s="3">
        <v>125</v>
      </c>
      <c r="G6" s="5">
        <v>27500</v>
      </c>
    </row>
    <row r="7" spans="1:7" x14ac:dyDescent="0.3">
      <c r="A7" s="6" t="s">
        <v>12</v>
      </c>
      <c r="B7" s="7">
        <v>75</v>
      </c>
      <c r="C7" s="7">
        <v>5</v>
      </c>
      <c r="D7" s="8">
        <f t="shared" si="0"/>
        <v>25.2</v>
      </c>
      <c r="E7" s="9">
        <f t="shared" si="1"/>
        <v>1890</v>
      </c>
      <c r="F7" s="7">
        <v>126</v>
      </c>
      <c r="G7" s="9">
        <v>9450</v>
      </c>
    </row>
    <row r="8" spans="1:7" x14ac:dyDescent="0.3">
      <c r="A8" s="2" t="s">
        <v>13</v>
      </c>
      <c r="B8" s="3">
        <v>200</v>
      </c>
      <c r="C8" s="3">
        <v>7</v>
      </c>
      <c r="D8" s="4">
        <f t="shared" si="0"/>
        <v>33.6</v>
      </c>
      <c r="E8" s="5">
        <f t="shared" si="1"/>
        <v>6714.29</v>
      </c>
      <c r="F8" s="3">
        <v>235</v>
      </c>
      <c r="G8" s="5">
        <v>47000</v>
      </c>
    </row>
    <row r="9" spans="1:7" x14ac:dyDescent="0.3">
      <c r="A9" s="6" t="s">
        <v>14</v>
      </c>
      <c r="B9" s="7">
        <v>180</v>
      </c>
      <c r="C9" s="7">
        <v>12</v>
      </c>
      <c r="D9" s="8">
        <f t="shared" si="0"/>
        <v>37.299999999999997</v>
      </c>
      <c r="E9" s="9">
        <f t="shared" si="1"/>
        <v>6705</v>
      </c>
      <c r="F9" s="7">
        <v>447</v>
      </c>
      <c r="G9" s="9">
        <v>80460</v>
      </c>
    </row>
    <row r="10" spans="1:7" x14ac:dyDescent="0.3">
      <c r="A10" s="2" t="s">
        <v>15</v>
      </c>
      <c r="B10" s="3">
        <v>65</v>
      </c>
      <c r="C10" s="3">
        <v>12</v>
      </c>
      <c r="D10" s="4">
        <f t="shared" si="0"/>
        <v>42.1</v>
      </c>
      <c r="E10" s="5">
        <f t="shared" si="1"/>
        <v>2735.42</v>
      </c>
      <c r="F10" s="3">
        <v>505</v>
      </c>
      <c r="G10" s="5">
        <v>32825</v>
      </c>
    </row>
    <row r="11" spans="1:7" x14ac:dyDescent="0.3">
      <c r="A11" s="6" t="s">
        <v>16</v>
      </c>
      <c r="B11" s="7">
        <v>40</v>
      </c>
      <c r="C11" s="7">
        <v>7</v>
      </c>
      <c r="D11" s="8">
        <f t="shared" si="0"/>
        <v>29.9</v>
      </c>
      <c r="E11" s="9">
        <f t="shared" si="1"/>
        <v>1194.29</v>
      </c>
      <c r="F11" s="7">
        <v>209</v>
      </c>
      <c r="G11" s="9">
        <v>8360</v>
      </c>
    </row>
    <row r="12" spans="1:7" x14ac:dyDescent="0.3">
      <c r="A12" s="2" t="s">
        <v>17</v>
      </c>
      <c r="B12" s="3">
        <v>90</v>
      </c>
      <c r="C12" s="3">
        <v>3</v>
      </c>
      <c r="D12" s="4">
        <f t="shared" si="0"/>
        <v>30.3</v>
      </c>
      <c r="E12" s="5">
        <f t="shared" si="1"/>
        <v>2730</v>
      </c>
      <c r="F12" s="3">
        <v>91</v>
      </c>
      <c r="G12" s="5">
        <v>8190</v>
      </c>
    </row>
    <row r="13" spans="1:7" x14ac:dyDescent="0.3">
      <c r="A13" s="6" t="s">
        <v>18</v>
      </c>
      <c r="B13" s="7">
        <v>55</v>
      </c>
      <c r="C13" s="7">
        <v>9</v>
      </c>
      <c r="D13" s="8">
        <f t="shared" si="0"/>
        <v>33.4</v>
      </c>
      <c r="E13" s="9">
        <f t="shared" si="1"/>
        <v>1839.44</v>
      </c>
      <c r="F13" s="7">
        <v>301</v>
      </c>
      <c r="G13" s="9">
        <v>16555</v>
      </c>
    </row>
    <row r="14" spans="1:7" x14ac:dyDescent="0.3">
      <c r="A14" s="2" t="s">
        <v>19</v>
      </c>
      <c r="B14" s="3">
        <v>60</v>
      </c>
      <c r="C14" s="3">
        <v>7</v>
      </c>
      <c r="D14" s="4">
        <f t="shared" si="0"/>
        <v>22.1</v>
      </c>
      <c r="E14" s="5">
        <f t="shared" si="1"/>
        <v>1328.57</v>
      </c>
      <c r="F14" s="3">
        <v>155</v>
      </c>
      <c r="G14" s="5">
        <v>9300</v>
      </c>
    </row>
    <row r="15" spans="1:7" x14ac:dyDescent="0.3">
      <c r="A15" s="6" t="s">
        <v>20</v>
      </c>
      <c r="B15" s="7">
        <v>100</v>
      </c>
      <c r="C15" s="7">
        <v>6</v>
      </c>
      <c r="D15" s="8">
        <f t="shared" si="0"/>
        <v>32</v>
      </c>
      <c r="E15" s="9">
        <f t="shared" si="1"/>
        <v>3200</v>
      </c>
      <c r="F15" s="7">
        <v>192</v>
      </c>
      <c r="G15" s="9">
        <v>19200</v>
      </c>
    </row>
    <row r="16" spans="1:7" x14ac:dyDescent="0.3">
      <c r="A16" s="2" t="s">
        <v>21</v>
      </c>
      <c r="B16" s="3">
        <v>80</v>
      </c>
      <c r="C16" s="3">
        <v>3</v>
      </c>
      <c r="D16" s="4">
        <f t="shared" si="0"/>
        <v>18</v>
      </c>
      <c r="E16" s="5">
        <f t="shared" si="1"/>
        <v>1440</v>
      </c>
      <c r="F16" s="3">
        <v>54</v>
      </c>
      <c r="G16" s="5">
        <v>4320</v>
      </c>
    </row>
    <row r="17" spans="1:7" ht="16.05" customHeight="1" x14ac:dyDescent="0.3">
      <c r="A17" s="10" t="s">
        <v>22</v>
      </c>
      <c r="B17" s="26">
        <f>SUM(B2:B16)</f>
        <v>1555</v>
      </c>
      <c r="C17" s="26">
        <f>SUM(C2:C16)</f>
        <v>110</v>
      </c>
      <c r="D17" s="11">
        <f>SUM(D2:D16)</f>
        <v>461</v>
      </c>
      <c r="E17" s="12">
        <f>SUM(E2:E16)</f>
        <v>48657.01</v>
      </c>
      <c r="F17" s="13">
        <f>SUM(F2:F16)</f>
        <v>3538</v>
      </c>
      <c r="G17" s="12">
        <f>SUM(G2:G16)</f>
        <v>365150</v>
      </c>
    </row>
    <row r="19" spans="1:7" x14ac:dyDescent="0.3">
      <c r="D19" s="21" t="s">
        <v>23</v>
      </c>
      <c r="E19" s="22"/>
      <c r="F19" s="22"/>
      <c r="G19" s="14">
        <f>E17</f>
        <v>48657.01</v>
      </c>
    </row>
    <row r="20" spans="1:7" x14ac:dyDescent="0.3">
      <c r="D20" s="21" t="s">
        <v>24</v>
      </c>
      <c r="E20" s="22"/>
      <c r="F20" s="22"/>
      <c r="G20" s="14">
        <f>G17</f>
        <v>365150</v>
      </c>
    </row>
    <row r="22" spans="1:7" x14ac:dyDescent="0.3">
      <c r="D22" s="23" t="s">
        <v>25</v>
      </c>
      <c r="E22" s="24"/>
      <c r="F22" s="24"/>
      <c r="G22" s="16" t="s">
        <v>26</v>
      </c>
    </row>
    <row r="23" spans="1:7" x14ac:dyDescent="0.3">
      <c r="D23" s="25" t="s">
        <v>27</v>
      </c>
      <c r="E23" s="24"/>
      <c r="F23" s="24"/>
      <c r="G23" s="17">
        <v>0</v>
      </c>
    </row>
    <row r="24" spans="1:7" x14ac:dyDescent="0.3">
      <c r="D24" s="25" t="s">
        <v>28</v>
      </c>
      <c r="E24" s="24"/>
      <c r="F24" s="24"/>
      <c r="G24" s="17">
        <v>0</v>
      </c>
    </row>
    <row r="25" spans="1:7" x14ac:dyDescent="0.3">
      <c r="D25" s="25" t="s">
        <v>29</v>
      </c>
      <c r="E25" s="24"/>
      <c r="F25" s="24"/>
      <c r="G25" s="17">
        <v>0</v>
      </c>
    </row>
    <row r="26" spans="1:7" x14ac:dyDescent="0.3">
      <c r="D26" s="25" t="s">
        <v>30</v>
      </c>
      <c r="E26" s="24"/>
      <c r="F26" s="24"/>
      <c r="G26" s="17">
        <v>0</v>
      </c>
    </row>
    <row r="27" spans="1:7" x14ac:dyDescent="0.3">
      <c r="D27" s="23" t="s">
        <v>31</v>
      </c>
      <c r="E27" s="24"/>
      <c r="F27" s="24"/>
      <c r="G27" s="18">
        <f>SUM(G23:G26)</f>
        <v>0</v>
      </c>
    </row>
    <row r="29" spans="1:7" x14ac:dyDescent="0.3">
      <c r="D29" s="23" t="s">
        <v>32</v>
      </c>
      <c r="E29" s="24"/>
      <c r="F29" s="24"/>
      <c r="G29" s="15"/>
    </row>
    <row r="30" spans="1:7" x14ac:dyDescent="0.3">
      <c r="D30" s="25" t="s">
        <v>33</v>
      </c>
      <c r="E30" s="24"/>
      <c r="F30" s="24"/>
      <c r="G30" s="19">
        <f>G17</f>
        <v>365150</v>
      </c>
    </row>
    <row r="31" spans="1:7" x14ac:dyDescent="0.3">
      <c r="D31" s="25" t="s">
        <v>31</v>
      </c>
      <c r="E31" s="24"/>
      <c r="F31" s="24"/>
      <c r="G31" s="19">
        <f>G27</f>
        <v>0</v>
      </c>
    </row>
    <row r="32" spans="1:7" x14ac:dyDescent="0.3">
      <c r="D32" s="25" t="s">
        <v>34</v>
      </c>
      <c r="E32" s="24"/>
      <c r="F32" s="24"/>
      <c r="G32" s="20">
        <f>G30-G31</f>
        <v>365150</v>
      </c>
    </row>
    <row r="33" spans="4:7" x14ac:dyDescent="0.3">
      <c r="D33" s="25" t="s">
        <v>35</v>
      </c>
      <c r="E33" s="24"/>
      <c r="F33" s="24"/>
      <c r="G33" s="19">
        <f>G30*0.15</f>
        <v>54772.5</v>
      </c>
    </row>
  </sheetData>
  <mergeCells count="13">
    <mergeCell ref="D33:F33"/>
    <mergeCell ref="D24:F24"/>
    <mergeCell ref="D32:F32"/>
    <mergeCell ref="D22:F22"/>
    <mergeCell ref="D26:F26"/>
    <mergeCell ref="D30:F30"/>
    <mergeCell ref="D25:F25"/>
    <mergeCell ref="D19:F19"/>
    <mergeCell ref="D29:F29"/>
    <mergeCell ref="D27:F27"/>
    <mergeCell ref="D23:F23"/>
    <mergeCell ref="D31:F31"/>
    <mergeCell ref="D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December</vt:lpstr>
      <vt:lpstr>January</vt:lpstr>
      <vt:lpstr>February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Kiev Gonzales</cp:lastModifiedBy>
  <dcterms:created xsi:type="dcterms:W3CDTF">2026-03-08T17:03:12Z</dcterms:created>
  <dcterms:modified xsi:type="dcterms:W3CDTF">2026-03-08T17:07:38Z</dcterms:modified>
</cp:coreProperties>
</file>